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H588238\Downloads\My Documents\VS CODE\BEOKBG\"/>
    </mc:Choice>
  </mc:AlternateContent>
  <xr:revisionPtr revIDLastSave="0" documentId="13_ncr:1_{83837FA2-D994-48BA-B033-2A391278856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Prices" sheetId="1" r:id="rId1"/>
    <sheet name="emag_overrid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C3" i="2"/>
  <c r="B4" i="2"/>
  <c r="C4" i="2"/>
  <c r="B5" i="2"/>
  <c r="C5" i="2"/>
  <c r="B6" i="2"/>
  <c r="C6" i="2"/>
  <c r="B7" i="2"/>
  <c r="C7" i="2"/>
  <c r="B8" i="2"/>
  <c r="C8" i="2"/>
  <c r="B9" i="2"/>
  <c r="C9" i="2"/>
  <c r="B10" i="2"/>
  <c r="C10" i="2"/>
  <c r="B11" i="2"/>
  <c r="C11" i="2"/>
  <c r="B12" i="2"/>
  <c r="C12" i="2"/>
  <c r="B13" i="2"/>
  <c r="C13" i="2"/>
  <c r="B14" i="2"/>
  <c r="C14" i="2"/>
  <c r="B15" i="2"/>
  <c r="C15" i="2"/>
  <c r="B16" i="2"/>
  <c r="C16" i="2"/>
  <c r="B17" i="2"/>
  <c r="C17" i="2"/>
  <c r="C2" i="2"/>
  <c r="B2" i="2"/>
</calcChain>
</file>

<file path=xl/sharedStrings.xml><?xml version="1.0" encoding="utf-8"?>
<sst xmlns="http://schemas.openxmlformats.org/spreadsheetml/2006/main" count="52" uniqueCount="35">
  <si>
    <t>TGM50-WIFI-EP</t>
  </si>
  <si>
    <t>TGM50-WIFI-WP</t>
  </si>
  <si>
    <t>TGM50B-WIFI-EP</t>
  </si>
  <si>
    <t>TGM50B-WIFI-WP</t>
  </si>
  <si>
    <t>TCC31-WIFI-EP</t>
  </si>
  <si>
    <t>TCC31-WIFI-WP</t>
  </si>
  <si>
    <t>TGR85-WIFI-WPB</t>
  </si>
  <si>
    <t>TCC31-WIFI-WPB</t>
  </si>
  <si>
    <t>BOT-R7W-X-WIFI</t>
  </si>
  <si>
    <t>BOT-R7B-X-WIFI</t>
  </si>
  <si>
    <t>BOT-R8X-WIFI</t>
  </si>
  <si>
    <t>TRV-604</t>
  </si>
  <si>
    <t>TRV-705WF</t>
  </si>
  <si>
    <t>CCT-28-X</t>
  </si>
  <si>
    <t>BOT-R7X-WIFI-NR</t>
  </si>
  <si>
    <t>RZ-D01.230-NC</t>
  </si>
  <si>
    <t>Model</t>
  </si>
  <si>
    <t>Qty</t>
  </si>
  <si>
    <t>Factory Price (USD)</t>
  </si>
  <si>
    <t>Landed Cost (EUR incl. shipping)</t>
  </si>
  <si>
    <t>Competitor Amazon Price (incl. VAT)</t>
  </si>
  <si>
    <t>Net Price (excl. VAT)</t>
  </si>
  <si>
    <t>eMAG Fee (12%)</t>
  </si>
  <si>
    <t>Other Costs</t>
  </si>
  <si>
    <t>Profit per Unit</t>
  </si>
  <si>
    <t>Margin</t>
  </si>
  <si>
    <t>Total Profit</t>
  </si>
  <si>
    <t>Brand</t>
  </si>
  <si>
    <t>BEOK</t>
  </si>
  <si>
    <t>EAN</t>
  </si>
  <si>
    <t>Description</t>
  </si>
  <si>
    <t>weight</t>
  </si>
  <si>
    <t>width</t>
  </si>
  <si>
    <t>height</t>
  </si>
  <si>
    <t>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</si>
</sst>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[$€-1];[Red]\-#,##0.00\ [$€-1]"/>
    <numFmt numFmtId="169" formatCode="#,##0.00_ ;[Red]\-#,##0.00\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  <charset val="204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0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/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E6E6E6"/>
      </left>
      <right/>
      <top style="medium">
        <color rgb="FFE6E6E6"/>
      </top>
      <bottom style="medium">
        <color rgb="FFE6E6E6"/>
      </bottom>
      <diagonal/>
    </border>
    <border>
      <left/>
      <right style="medium">
        <color rgb="FFE6E6E6"/>
      </right>
      <top style="medium">
        <color rgb="FFE6E6E6"/>
      </top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/>
      <diagonal/>
    </border>
    <border>
      <left style="medium">
        <color rgb="FFE6E6E6"/>
      </left>
      <right/>
      <top style="medium">
        <color rgb="FFE6E6E6"/>
      </top>
      <bottom/>
      <diagonal/>
    </border>
    <border>
      <left/>
      <right/>
      <top/>
      <bottom style="medium">
        <color rgb="FFE6E6E6"/>
      </bottom>
      <diagonal/>
    </border>
    <border>
      <left/>
      <right/>
      <top/>
      <bottom style="thin">
        <color theme="4" tint="0.39997558519241921"/>
      </bottom>
      <diagonal/>
    </border>
    <border>
      <left style="medium">
        <color rgb="FFE6E6E6"/>
      </left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vertical="center" wrapText="1"/>
    </xf>
    <xf numFmtId="164" fontId="1" fillId="0" borderId="1" xfId="0" applyNumberFormat="1" applyFont="1" applyBorder="1" applyAlignment="1">
      <alignment vertical="center" wrapText="1"/>
    </xf>
    <xf numFmtId="10" fontId="1" fillId="0" borderId="1" xfId="0" applyNumberFormat="1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164" fontId="1" fillId="0" borderId="3" xfId="0" applyNumberFormat="1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164" fontId="1" fillId="0" borderId="5" xfId="0" applyNumberFormat="1" applyFont="1" applyBorder="1" applyAlignment="1">
      <alignment vertical="center" wrapText="1"/>
    </xf>
    <xf numFmtId="10" fontId="1" fillId="0" borderId="5" xfId="0" applyNumberFormat="1" applyFont="1" applyBorder="1" applyAlignment="1">
      <alignment vertical="center" wrapText="1"/>
    </xf>
    <xf numFmtId="164" fontId="1" fillId="0" borderId="6" xfId="0" applyNumberFormat="1" applyFont="1" applyBorder="1" applyAlignment="1">
      <alignment vertical="center" wrapText="1"/>
    </xf>
    <xf numFmtId="0" fontId="0" fillId="0" borderId="7" xfId="0" applyBorder="1"/>
    <xf numFmtId="164" fontId="1" fillId="2" borderId="1" xfId="0" applyNumberFormat="1" applyFont="1" applyFill="1" applyBorder="1" applyAlignment="1">
      <alignment vertical="center" wrapText="1"/>
    </xf>
    <xf numFmtId="164" fontId="1" fillId="2" borderId="5" xfId="0" applyNumberFormat="1" applyFont="1" applyFill="1" applyBorder="1" applyAlignment="1">
      <alignment vertical="center" wrapText="1"/>
    </xf>
    <xf numFmtId="0" fontId="1" fillId="0" borderId="0" xfId="0" applyFont="1" applyAlignment="1">
      <alignment vertical="center"/>
    </xf>
    <xf numFmtId="164" fontId="1" fillId="4" borderId="1" xfId="0" applyNumberFormat="1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2" fillId="3" borderId="8" xfId="0" applyFont="1" applyFill="1" applyBorder="1"/>
    <xf numFmtId="0" fontId="2" fillId="3" borderId="9" xfId="0" applyFont="1" applyFill="1" applyBorder="1"/>
    <xf numFmtId="0" fontId="2" fillId="3" borderId="8" xfId="0" applyFont="1" applyFill="1" applyBorder="1" applyAlignment="1">
      <alignment horizontal="center"/>
    </xf>
    <xf numFmtId="169" fontId="1" fillId="4" borderId="1" xfId="0" applyNumberFormat="1" applyFont="1" applyFill="1" applyBorder="1" applyAlignment="1">
      <alignment vertical="center" wrapText="1"/>
    </xf>
    <xf numFmtId="169" fontId="1" fillId="0" borderId="1" xfId="0" applyNumberFormat="1" applyFont="1" applyBorder="1" applyAlignment="1">
      <alignment vertical="center" wrapText="1"/>
    </xf>
    <xf numFmtId="0" fontId="1" fillId="4" borderId="1" xfId="0" applyNumberFormat="1" applyFont="1" applyFill="1" applyBorder="1" applyAlignment="1">
      <alignment vertical="center" wrapText="1"/>
    </xf>
    <xf numFmtId="0" fontId="1" fillId="0" borderId="1" xfId="0" applyNumberFormat="1" applyFont="1" applyBorder="1" applyAlignment="1">
      <alignment vertical="center" wrapText="1"/>
    </xf>
    <xf numFmtId="0" fontId="1" fillId="0" borderId="5" xfId="0" applyNumberFormat="1" applyFont="1" applyBorder="1" applyAlignment="1">
      <alignment vertical="center" wrapText="1"/>
    </xf>
  </cellXfs>
  <cellStyles count="1">
    <cellStyle name="Normal" xfId="0" builtinId="0"/>
  </cellStyles>
  <dxfs count="2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charset val="204"/>
        <scheme val="none"/>
      </font>
      <numFmt numFmtId="0" formatCode="General"/>
      <alignment horizontal="general" vertical="center" textRotation="0" wrapText="1" indent="0" justifyLastLine="0" shrinkToFit="0" readingOrder="0"/>
      <border diagonalUp="0" diagonalDown="0">
        <left style="medium">
          <color rgb="FFE6E6E6"/>
        </left>
        <right style="medium">
          <color rgb="FFE6E6E6"/>
        </right>
        <top style="medium">
          <color rgb="FFE6E6E6"/>
        </top>
        <bottom style="medium">
          <color rgb="FFE6E6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charset val="204"/>
        <scheme val="none"/>
      </font>
      <numFmt numFmtId="0" formatCode="General"/>
      <alignment horizontal="general" vertical="center" textRotation="0" wrapText="1" indent="0" justifyLastLine="0" shrinkToFit="0" readingOrder="0"/>
      <border diagonalUp="0" diagonalDown="0">
        <left style="medium">
          <color rgb="FFE6E6E6"/>
        </left>
        <right style="medium">
          <color rgb="FFE6E6E6"/>
        </right>
        <top style="medium">
          <color rgb="FFE6E6E6"/>
        </top>
        <bottom style="medium">
          <color rgb="FFE6E6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charset val="204"/>
        <scheme val="none"/>
      </font>
      <numFmt numFmtId="0" formatCode="General"/>
      <alignment horizontal="general" vertical="center" textRotation="0" wrapText="1" indent="0" justifyLastLine="0" shrinkToFit="0" readingOrder="0"/>
      <border diagonalUp="0" diagonalDown="0">
        <left style="medium">
          <color rgb="FFE6E6E6"/>
        </left>
        <right style="medium">
          <color rgb="FFE6E6E6"/>
        </right>
        <top style="medium">
          <color rgb="FFE6E6E6"/>
        </top>
        <bottom style="medium">
          <color rgb="FFE6E6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charset val="204"/>
        <scheme val="none"/>
      </font>
      <numFmt numFmtId="0" formatCode="General"/>
      <alignment horizontal="general" vertical="center" textRotation="0" wrapText="1" indent="0" justifyLastLine="0" shrinkToFit="0" readingOrder="0"/>
      <border diagonalUp="0" diagonalDown="0">
        <left style="medium">
          <color rgb="FFE6E6E6"/>
        </left>
        <right style="medium">
          <color rgb="FFE6E6E6"/>
        </right>
        <top style="medium">
          <color rgb="FFE6E6E6"/>
        </top>
        <bottom style="medium">
          <color rgb="FFE6E6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charset val="204"/>
        <scheme val="none"/>
      </font>
      <numFmt numFmtId="0" formatCode="General"/>
      <alignment horizontal="general" vertical="center" textRotation="0" wrapText="1" indent="0" justifyLastLine="0" shrinkToFit="0" readingOrder="0"/>
      <border diagonalUp="0" diagonalDown="0">
        <left style="medium">
          <color rgb="FFE6E6E6"/>
        </left>
        <right style="medium">
          <color rgb="FFE6E6E6"/>
        </right>
        <top style="medium">
          <color rgb="FFE6E6E6"/>
        </top>
        <bottom style="medium">
          <color rgb="FFE6E6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charset val="204"/>
        <scheme val="none"/>
      </font>
      <numFmt numFmtId="0" formatCode="General"/>
      <alignment horizontal="general" vertical="center" textRotation="0" wrapText="1" indent="0" justifyLastLine="0" shrinkToFit="0" readingOrder="0"/>
      <border diagonalUp="0" diagonalDown="0">
        <left style="medium">
          <color rgb="FFE6E6E6"/>
        </left>
        <right style="medium">
          <color rgb="FFE6E6E6"/>
        </right>
        <top style="medium">
          <color rgb="FFE6E6E6"/>
        </top>
        <bottom style="medium">
          <color rgb="FFE6E6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charset val="204"/>
        <scheme val="none"/>
      </font>
      <numFmt numFmtId="169" formatCode="#,##0.00_ ;[Red]\-#,##0.00\ "/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E6E6E6"/>
        </left>
        <right style="medium">
          <color rgb="FFE6E6E6"/>
        </right>
        <top style="medium">
          <color rgb="FFE6E6E6"/>
        </top>
        <bottom style="medium">
          <color rgb="FFE6E6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charset val="204"/>
        <scheme val="none"/>
      </font>
      <numFmt numFmtId="164" formatCode="#,##0.00\ [$€-1];[Red]\-#,##0.00\ [$€-1]"/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E6E6E6"/>
        </left>
        <right style="medium">
          <color rgb="FFE6E6E6"/>
        </right>
        <top style="medium">
          <color rgb="FFE6E6E6"/>
        </top>
        <bottom style="medium">
          <color rgb="FFE6E6E6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charset val="204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charset val="204"/>
        <scheme val="none"/>
      </font>
      <numFmt numFmtId="164" formatCode="#,##0.00\ [$€-1];[Red]\-#,##0.00\ [$€-1]"/>
      <alignment horizontal="general" vertical="center" textRotation="0" wrapText="1" indent="0" justifyLastLine="0" shrinkToFit="0" readingOrder="0"/>
      <border diagonalUp="0" diagonalDown="0">
        <left style="medium">
          <color rgb="FFE6E6E6"/>
        </left>
        <right style="medium">
          <color rgb="FFE6E6E6"/>
        </right>
        <top style="medium">
          <color rgb="FFE6E6E6"/>
        </top>
        <bottom style="medium">
          <color rgb="FFE6E6E6"/>
        </bottom>
        <vertical/>
        <horizontal/>
      </border>
    </dxf>
    <dxf>
      <border outline="0">
        <top style="medium">
          <color rgb="FFE6E6E6"/>
        </top>
      </border>
    </dxf>
    <dxf>
      <border outline="0">
        <bottom style="thin">
          <color theme="4" tint="0.39997558519241921"/>
        </bottom>
      </border>
    </dxf>
    <dxf>
      <border outline="0">
        <top style="medium">
          <color rgb="FFE6E6E6"/>
        </top>
        <bottom style="medium">
          <color rgb="FFE6E6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charset val="204"/>
        <scheme val="none"/>
      </font>
      <numFmt numFmtId="164" formatCode="#,##0.00\ [$€-1];[Red]\-#,##0.00\ [$€-1]"/>
      <alignment horizontal="general" vertical="center" textRotation="0" wrapText="1" indent="0" justifyLastLine="0" shrinkToFit="0" readingOrder="0"/>
      <border diagonalUp="0" diagonalDown="0">
        <left style="medium">
          <color rgb="FFE6E6E6"/>
        </left>
        <right/>
        <top style="medium">
          <color rgb="FFE6E6E6"/>
        </top>
        <bottom style="medium">
          <color rgb="FFE6E6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charset val="204"/>
        <scheme val="none"/>
      </font>
      <numFmt numFmtId="14" formatCode="0.00%"/>
      <alignment horizontal="general" vertical="center" textRotation="0" wrapText="1" indent="0" justifyLastLine="0" shrinkToFit="0" readingOrder="0"/>
      <border diagonalUp="0" diagonalDown="0">
        <left style="medium">
          <color rgb="FFE6E6E6"/>
        </left>
        <right style="medium">
          <color rgb="FFE6E6E6"/>
        </right>
        <top style="medium">
          <color rgb="FFE6E6E6"/>
        </top>
        <bottom style="medium">
          <color rgb="FFE6E6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charset val="204"/>
        <scheme val="none"/>
      </font>
      <numFmt numFmtId="164" formatCode="#,##0.00\ [$€-1];[Red]\-#,##0.00\ [$€-1]"/>
      <alignment horizontal="general" vertical="center" textRotation="0" wrapText="1" indent="0" justifyLastLine="0" shrinkToFit="0" readingOrder="0"/>
      <border diagonalUp="0" diagonalDown="0">
        <left style="medium">
          <color rgb="FFE6E6E6"/>
        </left>
        <right style="medium">
          <color rgb="FFE6E6E6"/>
        </right>
        <top style="medium">
          <color rgb="FFE6E6E6"/>
        </top>
        <bottom style="medium">
          <color rgb="FFE6E6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charset val="204"/>
        <scheme val="none"/>
      </font>
      <numFmt numFmtId="164" formatCode="#,##0.00\ [$€-1];[Red]\-#,##0.00\ [$€-1]"/>
      <alignment horizontal="general" vertical="center" textRotation="0" wrapText="1" indent="0" justifyLastLine="0" shrinkToFit="0" readingOrder="0"/>
      <border diagonalUp="0" diagonalDown="0">
        <left style="medium">
          <color rgb="FFE6E6E6"/>
        </left>
        <right style="medium">
          <color rgb="FFE6E6E6"/>
        </right>
        <top style="medium">
          <color rgb="FFE6E6E6"/>
        </top>
        <bottom style="medium">
          <color rgb="FFE6E6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charset val="204"/>
        <scheme val="none"/>
      </font>
      <numFmt numFmtId="164" formatCode="#,##0.00\ [$€-1];[Red]\-#,##0.00\ [$€-1]"/>
      <alignment horizontal="general" vertical="center" textRotation="0" wrapText="1" indent="0" justifyLastLine="0" shrinkToFit="0" readingOrder="0"/>
      <border diagonalUp="0" diagonalDown="0">
        <left style="medium">
          <color rgb="FFE6E6E6"/>
        </left>
        <right style="medium">
          <color rgb="FFE6E6E6"/>
        </right>
        <top style="medium">
          <color rgb="FFE6E6E6"/>
        </top>
        <bottom style="medium">
          <color rgb="FFE6E6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charset val="204"/>
        <scheme val="none"/>
      </font>
      <numFmt numFmtId="164" formatCode="#,##0.00\ [$€-1];[Red]\-#,##0.00\ [$€-1]"/>
      <alignment horizontal="general" vertical="center" textRotation="0" wrapText="1" indent="0" justifyLastLine="0" shrinkToFit="0" readingOrder="0"/>
      <border diagonalUp="0" diagonalDown="0" outline="0">
        <left style="medium">
          <color rgb="FFE6E6E6"/>
        </left>
        <right style="medium">
          <color rgb="FFE6E6E6"/>
        </right>
        <top style="medium">
          <color rgb="FFE6E6E6"/>
        </top>
        <bottom style="medium">
          <color rgb="FFE6E6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charset val="204"/>
        <scheme val="none"/>
      </font>
      <numFmt numFmtId="164" formatCode="#,##0.00\ [$€-1];[Red]\-#,##0.00\ [$€-1]"/>
      <fill>
        <patternFill patternType="solid">
          <fgColor indexed="64"/>
          <bgColor rgb="FFFFC000"/>
        </patternFill>
      </fill>
      <alignment horizontal="general" vertical="center" textRotation="0" wrapText="1" indent="0" justifyLastLine="0" shrinkToFit="0" readingOrder="0"/>
      <border diagonalUp="0" diagonalDown="0" outline="0">
        <left style="medium">
          <color rgb="FFE6E6E6"/>
        </left>
        <right style="medium">
          <color rgb="FFE6E6E6"/>
        </right>
        <top style="medium">
          <color rgb="FFE6E6E6"/>
        </top>
        <bottom style="medium">
          <color rgb="FFE6E6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charset val="204"/>
        <scheme val="none"/>
      </font>
      <numFmt numFmtId="164" formatCode="#,##0.00\ [$€-1];[Red]\-#,##0.00\ [$€-1]"/>
      <alignment horizontal="general" vertical="center" textRotation="0" wrapText="1" indent="0" justifyLastLine="0" shrinkToFit="0" readingOrder="0"/>
      <border diagonalUp="0" diagonalDown="0" outline="0">
        <left style="medium">
          <color rgb="FFE6E6E6"/>
        </left>
        <right style="medium">
          <color rgb="FFE6E6E6"/>
        </right>
        <top style="medium">
          <color rgb="FFE6E6E6"/>
        </top>
        <bottom style="medium">
          <color rgb="FFE6E6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charset val="204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E6E6E6"/>
        </left>
        <right style="medium">
          <color rgb="FFE6E6E6"/>
        </right>
        <top style="medium">
          <color rgb="FFE6E6E6"/>
        </top>
        <bottom style="medium">
          <color rgb="FFE6E6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charset val="204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E6E6E6"/>
        </left>
        <right style="medium">
          <color rgb="FFE6E6E6"/>
        </right>
        <top style="medium">
          <color rgb="FFE6E6E6"/>
        </top>
        <bottom style="medium">
          <color rgb="FFE6E6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charset val="204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rgb="FFE6E6E6"/>
        </right>
        <top style="medium">
          <color rgb="FFE6E6E6"/>
        </top>
        <bottom style="medium">
          <color rgb="FFE6E6E6"/>
        </bottom>
        <vertical/>
        <horizontal/>
      </border>
    </dxf>
    <dxf>
      <border outline="0">
        <top style="medium">
          <color rgb="FFE6E6E6"/>
        </top>
      </border>
    </dxf>
    <dxf>
      <border outline="0">
        <left style="medium">
          <color rgb="FFE6E6E6"/>
        </left>
        <right style="medium">
          <color rgb="FFE6E6E6"/>
        </right>
        <top style="medium">
          <color rgb="FFE6E6E6"/>
        </top>
        <bottom style="medium">
          <color rgb="FFE6E6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charset val="204"/>
        <scheme val="none"/>
      </font>
      <alignment horizontal="general" vertical="center" textRotation="0" wrapText="1" indent="0" justifyLastLine="0" shrinkToFit="0" readingOrder="0"/>
    </dxf>
    <dxf>
      <border outline="0">
        <bottom style="medium">
          <color rgb="FFE6E6E6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8E6B6D-1DD3-4F0C-86B9-BE7A319FFBE5}" name="Table1" displayName="Table1" ref="A1:K17" totalsRowShown="0" dataDxfId="27" headerRowBorderDxfId="28" tableBorderDxfId="26" totalsRowBorderDxfId="25">
  <autoFilter ref="A1:K17" xr:uid="{CD8E6B6D-1DD3-4F0C-86B9-BE7A319FFBE5}"/>
  <tableColumns count="11">
    <tableColumn id="1" xr3:uid="{07B2CB3F-FB12-4FFE-B29F-80C78129A0B3}" name="Model" dataDxfId="24"/>
    <tableColumn id="2" xr3:uid="{2C19763C-CE3D-4556-A0B2-F62D3EA135D2}" name="Qty" dataDxfId="23"/>
    <tableColumn id="3" xr3:uid="{014512B3-03D0-4636-853B-9164AE73A960}" name="Factory Price (USD)" dataDxfId="22"/>
    <tableColumn id="4" xr3:uid="{54A37127-B297-404F-B260-6EBF7B328562}" name="Landed Cost (EUR incl. shipping)" dataDxfId="21"/>
    <tableColumn id="5" xr3:uid="{5C977046-589B-471B-87F7-A65DC3ABF4E7}" name="Competitor Amazon Price (incl. VAT)" dataDxfId="20"/>
    <tableColumn id="6" xr3:uid="{DE844D21-D3FF-4927-ACDC-46496E1EC5FF}" name="Net Price (excl. VAT)" dataDxfId="19"/>
    <tableColumn id="7" xr3:uid="{0CB03D02-817C-4F9C-A8C7-B92ED2469668}" name="eMAG Fee (12%)" dataDxfId="18"/>
    <tableColumn id="8" xr3:uid="{60C8B842-26DA-402F-9209-B222E2DEE319}" name="Other Costs" dataDxfId="17"/>
    <tableColumn id="9" xr3:uid="{47EBA81C-A220-4873-8AA6-479ED412FDF9}" name="Profit per Unit" dataDxfId="16"/>
    <tableColumn id="10" xr3:uid="{9147229C-EB3E-40AE-8E48-1D8422C012AD}" name="Margin" dataDxfId="15"/>
    <tableColumn id="11" xr3:uid="{1031A2C4-C9EA-40BE-845A-F1898E1FA41E}" name="Total Profit" dataDxfId="1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B277A1C-2E67-4613-B61E-3DD01663EB5D}" name="Table2" displayName="Table2" ref="A1:I17" totalsRowShown="0" headerRowDxfId="8" dataDxfId="9" headerRowBorderDxfId="12" tableBorderDxfId="13" totalsRowBorderDxfId="11">
  <autoFilter ref="A1:I17" xr:uid="{7B277A1C-2E67-4613-B61E-3DD01663EB5D}"/>
  <tableColumns count="9">
    <tableColumn id="1" xr3:uid="{FA3A1C50-58BF-48EF-9CD1-CE1979D2B0AE}" name="Brand" dataDxfId="10"/>
    <tableColumn id="2" xr3:uid="{32B518C0-4810-473E-ABAC-3261CBDDB365}" name="Model" dataDxfId="7">
      <calculatedColumnFormula>Table1[[#This Row],[Model]]</calculatedColumnFormula>
    </tableColumn>
    <tableColumn id="3" xr3:uid="{272EAB41-8E38-4F89-A138-E3166B1D801B}" name="Qty" dataDxfId="6">
      <calculatedColumnFormula>Table1[[#This Row],[Qty]]</calculatedColumnFormula>
    </tableColumn>
    <tableColumn id="4" xr3:uid="{E14DE9B2-1346-41DC-B48C-057BBE02E423}" name="EAN" dataDxfId="5"/>
    <tableColumn id="5" xr3:uid="{B35EC088-2A82-4A0F-A2E6-DB8E54A0CC1C}" name="Description" dataDxfId="4"/>
    <tableColumn id="6" xr3:uid="{9B067A65-755F-4043-B9AA-E666E5C8597F}" name="weight" dataDxfId="3"/>
    <tableColumn id="7" xr3:uid="{9DEEA8CF-68BD-46CE-A1B5-FAD1590D7ECC}" name="width" dataDxfId="2"/>
    <tableColumn id="8" xr3:uid="{439009A2-D751-47DA-BF7B-1C26886DFA2D}" name="height" dataDxfId="1"/>
    <tableColumn id="9" xr3:uid="{FAF760A8-F4B6-4246-991D-ECADF9741398}" name="length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workbookViewId="0">
      <selection activeCell="E23" sqref="E23"/>
    </sheetView>
  </sheetViews>
  <sheetFormatPr defaultRowHeight="21" customHeight="1" x14ac:dyDescent="0.25"/>
  <cols>
    <col min="1" max="1" width="23.42578125" customWidth="1"/>
    <col min="2" max="2" width="8.85546875" customWidth="1"/>
    <col min="3" max="3" width="11.42578125" customWidth="1"/>
    <col min="4" max="4" width="19.140625" customWidth="1"/>
    <col min="5" max="5" width="35.85546875" customWidth="1"/>
    <col min="6" max="6" width="24.140625" customWidth="1"/>
    <col min="7" max="7" width="14.42578125" customWidth="1"/>
    <col min="8" max="8" width="18.42578125" customWidth="1"/>
    <col min="9" max="9" width="16.140625" customWidth="1"/>
    <col min="10" max="10" width="9.42578125" customWidth="1"/>
    <col min="11" max="11" width="18.28515625" customWidth="1"/>
  </cols>
  <sheetData>
    <row r="1" spans="1:11" ht="21" customHeight="1" thickBot="1" x14ac:dyDescent="0.3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s="11" t="s">
        <v>26</v>
      </c>
    </row>
    <row r="2" spans="1:11" ht="21" customHeight="1" thickBot="1" x14ac:dyDescent="0.3">
      <c r="A2" s="4" t="s">
        <v>0</v>
      </c>
      <c r="B2" s="1">
        <v>20</v>
      </c>
      <c r="C2" s="1">
        <v>16.25</v>
      </c>
      <c r="D2" s="2">
        <v>17.61</v>
      </c>
      <c r="E2" s="12">
        <v>42.99</v>
      </c>
      <c r="F2" s="2">
        <v>35.83</v>
      </c>
      <c r="G2" s="2">
        <v>4.3</v>
      </c>
      <c r="H2" s="2">
        <v>2</v>
      </c>
      <c r="I2" s="2">
        <v>11.92</v>
      </c>
      <c r="J2" s="3">
        <v>0.33300000000000002</v>
      </c>
      <c r="K2" s="5">
        <v>238.42</v>
      </c>
    </row>
    <row r="3" spans="1:11" ht="21" customHeight="1" thickBot="1" x14ac:dyDescent="0.3">
      <c r="A3" s="4" t="s">
        <v>1</v>
      </c>
      <c r="B3" s="1">
        <v>20</v>
      </c>
      <c r="C3" s="1">
        <v>15.95</v>
      </c>
      <c r="D3" s="2">
        <v>17.329999999999998</v>
      </c>
      <c r="E3" s="12">
        <v>42.99</v>
      </c>
      <c r="F3" s="2">
        <v>35.83</v>
      </c>
      <c r="G3" s="2">
        <v>4.3</v>
      </c>
      <c r="H3" s="2">
        <v>2</v>
      </c>
      <c r="I3" s="2">
        <v>12.2</v>
      </c>
      <c r="J3" s="3">
        <v>0.34</v>
      </c>
      <c r="K3" s="5">
        <v>243.94</v>
      </c>
    </row>
    <row r="4" spans="1:11" ht="21" customHeight="1" thickBot="1" x14ac:dyDescent="0.3">
      <c r="A4" s="4" t="s">
        <v>2</v>
      </c>
      <c r="B4" s="1">
        <v>20</v>
      </c>
      <c r="C4" s="1">
        <v>16.25</v>
      </c>
      <c r="D4" s="2">
        <v>17.61</v>
      </c>
      <c r="E4" s="12">
        <v>44.99</v>
      </c>
      <c r="F4" s="2">
        <v>37.49</v>
      </c>
      <c r="G4" s="2">
        <v>4.5</v>
      </c>
      <c r="H4" s="2">
        <v>2</v>
      </c>
      <c r="I4" s="2">
        <v>13.39</v>
      </c>
      <c r="J4" s="3">
        <v>0.35699999999999998</v>
      </c>
      <c r="K4" s="5">
        <v>267.75</v>
      </c>
    </row>
    <row r="5" spans="1:11" ht="21" customHeight="1" thickBot="1" x14ac:dyDescent="0.3">
      <c r="A5" s="4" t="s">
        <v>3</v>
      </c>
      <c r="B5" s="1">
        <v>20</v>
      </c>
      <c r="C5" s="1">
        <v>15.95</v>
      </c>
      <c r="D5" s="2">
        <v>17.329999999999998</v>
      </c>
      <c r="E5" s="12">
        <v>44.99</v>
      </c>
      <c r="F5" s="2">
        <v>37.49</v>
      </c>
      <c r="G5" s="2">
        <v>4.5</v>
      </c>
      <c r="H5" s="2">
        <v>2</v>
      </c>
      <c r="I5" s="2">
        <v>13.66</v>
      </c>
      <c r="J5" s="3">
        <v>0.36399999999999999</v>
      </c>
      <c r="K5" s="5">
        <v>273.27</v>
      </c>
    </row>
    <row r="6" spans="1:11" ht="21" customHeight="1" thickBot="1" x14ac:dyDescent="0.3">
      <c r="A6" s="4" t="s">
        <v>4</v>
      </c>
      <c r="B6" s="1">
        <v>20</v>
      </c>
      <c r="C6" s="1">
        <v>19.95</v>
      </c>
      <c r="D6" s="2">
        <v>21.01</v>
      </c>
      <c r="E6" s="12">
        <v>54.99</v>
      </c>
      <c r="F6" s="2">
        <v>45.83</v>
      </c>
      <c r="G6" s="2">
        <v>5.5</v>
      </c>
      <c r="H6" s="2">
        <v>2</v>
      </c>
      <c r="I6" s="2">
        <v>17.32</v>
      </c>
      <c r="J6" s="3">
        <v>0.378</v>
      </c>
      <c r="K6" s="5">
        <v>346.34</v>
      </c>
    </row>
    <row r="7" spans="1:11" ht="21" customHeight="1" thickBot="1" x14ac:dyDescent="0.3">
      <c r="A7" s="4" t="s">
        <v>5</v>
      </c>
      <c r="B7" s="1">
        <v>20</v>
      </c>
      <c r="C7" s="1">
        <v>19.649999999999999</v>
      </c>
      <c r="D7" s="2">
        <v>20.73</v>
      </c>
      <c r="E7" s="12">
        <v>54.99</v>
      </c>
      <c r="F7" s="2">
        <v>45.83</v>
      </c>
      <c r="G7" s="2">
        <v>5.5</v>
      </c>
      <c r="H7" s="2">
        <v>2</v>
      </c>
      <c r="I7" s="2">
        <v>17.59</v>
      </c>
      <c r="J7" s="3">
        <v>0.38400000000000001</v>
      </c>
      <c r="K7" s="5">
        <v>351.86</v>
      </c>
    </row>
    <row r="8" spans="1:11" ht="21" customHeight="1" thickBot="1" x14ac:dyDescent="0.3">
      <c r="A8" s="4" t="s">
        <v>6</v>
      </c>
      <c r="B8" s="1">
        <v>20</v>
      </c>
      <c r="C8" s="1">
        <v>16.25</v>
      </c>
      <c r="D8" s="2">
        <v>17.61</v>
      </c>
      <c r="E8" s="12">
        <v>42.99</v>
      </c>
      <c r="F8" s="2">
        <v>35.83</v>
      </c>
      <c r="G8" s="2">
        <v>4.3</v>
      </c>
      <c r="H8" s="2">
        <v>2</v>
      </c>
      <c r="I8" s="2">
        <v>11.92</v>
      </c>
      <c r="J8" s="3">
        <v>0.33300000000000002</v>
      </c>
      <c r="K8" s="5">
        <v>238.42</v>
      </c>
    </row>
    <row r="9" spans="1:11" ht="21" customHeight="1" thickBot="1" x14ac:dyDescent="0.3">
      <c r="A9" s="4" t="s">
        <v>7</v>
      </c>
      <c r="B9" s="1">
        <v>20</v>
      </c>
      <c r="C9" s="1">
        <v>19.649999999999999</v>
      </c>
      <c r="D9" s="2">
        <v>20.73</v>
      </c>
      <c r="E9" s="12">
        <v>54.99</v>
      </c>
      <c r="F9" s="2">
        <v>45.83</v>
      </c>
      <c r="G9" s="2">
        <v>5.5</v>
      </c>
      <c r="H9" s="2">
        <v>2</v>
      </c>
      <c r="I9" s="2">
        <v>17.59</v>
      </c>
      <c r="J9" s="3">
        <v>0.38400000000000001</v>
      </c>
      <c r="K9" s="5">
        <v>351.86</v>
      </c>
    </row>
    <row r="10" spans="1:11" ht="21" customHeight="1" thickBot="1" x14ac:dyDescent="0.3">
      <c r="A10" s="4" t="s">
        <v>8</v>
      </c>
      <c r="B10" s="1">
        <v>20</v>
      </c>
      <c r="C10" s="1">
        <v>25</v>
      </c>
      <c r="D10" s="2">
        <v>25.66</v>
      </c>
      <c r="E10" s="12">
        <v>59.99</v>
      </c>
      <c r="F10" s="2">
        <v>49.99</v>
      </c>
      <c r="G10" s="2">
        <v>6</v>
      </c>
      <c r="H10" s="2">
        <v>2</v>
      </c>
      <c r="I10" s="2">
        <v>16.34</v>
      </c>
      <c r="J10" s="3">
        <v>0.32700000000000001</v>
      </c>
      <c r="K10" s="5">
        <v>326.75</v>
      </c>
    </row>
    <row r="11" spans="1:11" ht="21" customHeight="1" thickBot="1" x14ac:dyDescent="0.3">
      <c r="A11" s="4" t="s">
        <v>9</v>
      </c>
      <c r="B11" s="1">
        <v>20</v>
      </c>
      <c r="C11" s="1">
        <v>25</v>
      </c>
      <c r="D11" s="2">
        <v>25.66</v>
      </c>
      <c r="E11" s="12">
        <v>59.99</v>
      </c>
      <c r="F11" s="2">
        <v>49.99</v>
      </c>
      <c r="G11" s="2">
        <v>6</v>
      </c>
      <c r="H11" s="2">
        <v>2</v>
      </c>
      <c r="I11" s="2">
        <v>16.34</v>
      </c>
      <c r="J11" s="3">
        <v>0.32700000000000001</v>
      </c>
      <c r="K11" s="5">
        <v>326.75</v>
      </c>
    </row>
    <row r="12" spans="1:11" ht="21" customHeight="1" thickBot="1" x14ac:dyDescent="0.3">
      <c r="A12" s="4" t="s">
        <v>10</v>
      </c>
      <c r="B12" s="1">
        <v>20</v>
      </c>
      <c r="C12" s="1">
        <v>25.2</v>
      </c>
      <c r="D12" s="2">
        <v>25.84</v>
      </c>
      <c r="E12" s="12">
        <v>64.989999999999995</v>
      </c>
      <c r="F12" s="2">
        <v>54.16</v>
      </c>
      <c r="G12" s="2">
        <v>6.5</v>
      </c>
      <c r="H12" s="2">
        <v>2</v>
      </c>
      <c r="I12" s="2">
        <v>19.82</v>
      </c>
      <c r="J12" s="3">
        <v>0.36599999999999999</v>
      </c>
      <c r="K12" s="5">
        <v>396.41</v>
      </c>
    </row>
    <row r="13" spans="1:11" ht="21" customHeight="1" thickBot="1" x14ac:dyDescent="0.3">
      <c r="A13" s="4" t="s">
        <v>11</v>
      </c>
      <c r="B13" s="1">
        <v>40</v>
      </c>
      <c r="C13" s="1">
        <v>25.3</v>
      </c>
      <c r="D13" s="2">
        <v>25.93</v>
      </c>
      <c r="E13" s="12">
        <v>49.99</v>
      </c>
      <c r="F13" s="2">
        <v>41.66</v>
      </c>
      <c r="G13" s="2">
        <v>5</v>
      </c>
      <c r="H13" s="2">
        <v>2</v>
      </c>
      <c r="I13" s="2">
        <v>8.73</v>
      </c>
      <c r="J13" s="3">
        <v>0.21</v>
      </c>
      <c r="K13" s="5">
        <v>349.13</v>
      </c>
    </row>
    <row r="14" spans="1:11" ht="21" customHeight="1" thickBot="1" x14ac:dyDescent="0.3">
      <c r="A14" s="4" t="s">
        <v>12</v>
      </c>
      <c r="B14" s="1">
        <v>40</v>
      </c>
      <c r="C14" s="1">
        <v>21.4</v>
      </c>
      <c r="D14" s="2">
        <v>22.34</v>
      </c>
      <c r="E14" s="12">
        <v>49.99</v>
      </c>
      <c r="F14" s="2">
        <v>41.66</v>
      </c>
      <c r="G14" s="2">
        <v>5</v>
      </c>
      <c r="H14" s="2">
        <v>2</v>
      </c>
      <c r="I14" s="2">
        <v>12.32</v>
      </c>
      <c r="J14" s="3">
        <v>0.29599999999999999</v>
      </c>
      <c r="K14" s="5">
        <v>492.65</v>
      </c>
    </row>
    <row r="15" spans="1:11" ht="21" customHeight="1" thickBot="1" x14ac:dyDescent="0.3">
      <c r="A15" s="4" t="s">
        <v>13</v>
      </c>
      <c r="B15" s="1">
        <v>10</v>
      </c>
      <c r="C15" s="1">
        <v>20.350000000000001</v>
      </c>
      <c r="D15" s="2">
        <v>21.38</v>
      </c>
      <c r="E15" s="12">
        <v>54.99</v>
      </c>
      <c r="F15" s="2">
        <v>45.83</v>
      </c>
      <c r="G15" s="2">
        <v>5.5</v>
      </c>
      <c r="H15" s="2">
        <v>2</v>
      </c>
      <c r="I15" s="2">
        <v>16.95</v>
      </c>
      <c r="J15" s="3">
        <v>0.37</v>
      </c>
      <c r="K15" s="5">
        <v>169.49</v>
      </c>
    </row>
    <row r="16" spans="1:11" ht="21" customHeight="1" thickBot="1" x14ac:dyDescent="0.3">
      <c r="A16" s="4" t="s">
        <v>14</v>
      </c>
      <c r="B16" s="1">
        <v>40</v>
      </c>
      <c r="C16" s="1">
        <v>18.45</v>
      </c>
      <c r="D16" s="2">
        <v>19.63</v>
      </c>
      <c r="E16" s="12">
        <v>54.99</v>
      </c>
      <c r="F16" s="2">
        <v>45.83</v>
      </c>
      <c r="G16" s="2">
        <v>5.5</v>
      </c>
      <c r="H16" s="2">
        <v>2</v>
      </c>
      <c r="I16" s="2">
        <v>18.7</v>
      </c>
      <c r="J16" s="3">
        <v>0.40799999999999997</v>
      </c>
      <c r="K16" s="5">
        <v>747.88</v>
      </c>
    </row>
    <row r="17" spans="1:11" ht="21" customHeight="1" x14ac:dyDescent="0.25">
      <c r="A17" s="6" t="s">
        <v>15</v>
      </c>
      <c r="B17" s="7">
        <v>40</v>
      </c>
      <c r="C17" s="7">
        <v>8</v>
      </c>
      <c r="D17" s="8">
        <v>10.02</v>
      </c>
      <c r="E17" s="13">
        <v>19.989999999999998</v>
      </c>
      <c r="F17" s="8">
        <v>16.66</v>
      </c>
      <c r="G17" s="8">
        <v>2</v>
      </c>
      <c r="H17" s="8">
        <v>2</v>
      </c>
      <c r="I17" s="8">
        <v>2.64</v>
      </c>
      <c r="J17" s="9">
        <v>0.158</v>
      </c>
      <c r="K17" s="10">
        <v>105.53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6AC5B-3745-442C-9DF5-DC5E9A22AF4E}">
  <dimension ref="A1:I36"/>
  <sheetViews>
    <sheetView tabSelected="1" workbookViewId="0">
      <selection activeCell="L10" sqref="L10"/>
    </sheetView>
  </sheetViews>
  <sheetFormatPr defaultColWidth="20.28515625" defaultRowHeight="15" x14ac:dyDescent="0.25"/>
  <cols>
    <col min="1" max="1" width="8.28515625" customWidth="1"/>
    <col min="2" max="2" width="18.5703125" bestFit="1" customWidth="1"/>
    <col min="3" max="3" width="9.28515625" style="16" customWidth="1"/>
    <col min="4" max="4" width="6.85546875" customWidth="1"/>
    <col min="5" max="5" width="13.28515625" customWidth="1"/>
    <col min="6" max="6" width="9.42578125" bestFit="1" customWidth="1"/>
    <col min="7" max="7" width="8.28515625" customWidth="1"/>
    <col min="8" max="8" width="8.85546875" customWidth="1"/>
    <col min="9" max="9" width="9" bestFit="1" customWidth="1"/>
    <col min="23" max="23" width="16.85546875" bestFit="1" customWidth="1"/>
  </cols>
  <sheetData>
    <row r="1" spans="1:9" ht="15.75" thickBot="1" x14ac:dyDescent="0.3">
      <c r="A1" s="17" t="s">
        <v>27</v>
      </c>
      <c r="B1" s="18" t="s">
        <v>16</v>
      </c>
      <c r="C1" s="19" t="s">
        <v>17</v>
      </c>
      <c r="D1" s="17" t="s">
        <v>29</v>
      </c>
      <c r="E1" s="17" t="s">
        <v>30</v>
      </c>
      <c r="F1" s="17" t="s">
        <v>31</v>
      </c>
      <c r="G1" s="17" t="s">
        <v>32</v>
      </c>
      <c r="H1" s="17" t="s">
        <v>33</v>
      </c>
      <c r="I1" s="17" t="s">
        <v>34</v>
      </c>
    </row>
    <row r="2" spans="1:9" ht="17.25" thickBot="1" x14ac:dyDescent="0.3">
      <c r="A2" s="15" t="s">
        <v>28</v>
      </c>
      <c r="B2" s="15" t="str">
        <f>Table1[[#This Row],[Model]]</f>
        <v>TGM50-WIFI-EP</v>
      </c>
      <c r="C2" s="20">
        <f>Table1[[#This Row],[Qty]]</f>
        <v>20</v>
      </c>
      <c r="D2" s="22"/>
      <c r="E2" s="22"/>
      <c r="F2" s="22"/>
      <c r="G2" s="22"/>
      <c r="H2" s="22"/>
      <c r="I2" s="22"/>
    </row>
    <row r="3" spans="1:9" ht="17.25" thickBot="1" x14ac:dyDescent="0.3">
      <c r="A3" s="2" t="s">
        <v>28</v>
      </c>
      <c r="B3" s="2" t="str">
        <f>Table1[[#This Row],[Model]]</f>
        <v>TGM50-WIFI-WP</v>
      </c>
      <c r="C3" s="21">
        <f>Table1[[#This Row],[Qty]]</f>
        <v>20</v>
      </c>
      <c r="D3" s="23"/>
      <c r="E3" s="23"/>
      <c r="F3" s="23"/>
      <c r="G3" s="23"/>
      <c r="H3" s="23"/>
      <c r="I3" s="23"/>
    </row>
    <row r="4" spans="1:9" ht="17.25" thickBot="1" x14ac:dyDescent="0.3">
      <c r="A4" s="15" t="s">
        <v>28</v>
      </c>
      <c r="B4" s="15" t="str">
        <f>Table1[[#This Row],[Model]]</f>
        <v>TGM50B-WIFI-EP</v>
      </c>
      <c r="C4" s="20">
        <f>Table1[[#This Row],[Qty]]</f>
        <v>20</v>
      </c>
      <c r="D4" s="22"/>
      <c r="E4" s="22"/>
      <c r="F4" s="22"/>
      <c r="G4" s="22"/>
      <c r="H4" s="22"/>
      <c r="I4" s="22"/>
    </row>
    <row r="5" spans="1:9" ht="17.25" thickBot="1" x14ac:dyDescent="0.3">
      <c r="A5" s="2" t="s">
        <v>28</v>
      </c>
      <c r="B5" s="2" t="str">
        <f>Table1[[#This Row],[Model]]</f>
        <v>TGM50B-WIFI-WP</v>
      </c>
      <c r="C5" s="21">
        <f>Table1[[#This Row],[Qty]]</f>
        <v>20</v>
      </c>
      <c r="D5" s="23"/>
      <c r="E5" s="23"/>
      <c r="F5" s="23"/>
      <c r="G5" s="23"/>
      <c r="H5" s="23"/>
      <c r="I5" s="23"/>
    </row>
    <row r="6" spans="1:9" ht="17.25" thickBot="1" x14ac:dyDescent="0.3">
      <c r="A6" s="15" t="s">
        <v>28</v>
      </c>
      <c r="B6" s="15" t="str">
        <f>Table1[[#This Row],[Model]]</f>
        <v>TCC31-WIFI-EP</v>
      </c>
      <c r="C6" s="20">
        <f>Table1[[#This Row],[Qty]]</f>
        <v>20</v>
      </c>
      <c r="D6" s="22"/>
      <c r="E6" s="22"/>
      <c r="F6" s="22"/>
      <c r="G6" s="22"/>
      <c r="H6" s="22"/>
      <c r="I6" s="22"/>
    </row>
    <row r="7" spans="1:9" ht="17.25" thickBot="1" x14ac:dyDescent="0.3">
      <c r="A7" s="2" t="s">
        <v>28</v>
      </c>
      <c r="B7" s="2" t="str">
        <f>Table1[[#This Row],[Model]]</f>
        <v>TCC31-WIFI-WP</v>
      </c>
      <c r="C7" s="21">
        <f>Table1[[#This Row],[Qty]]</f>
        <v>20</v>
      </c>
      <c r="D7" s="23"/>
      <c r="E7" s="23"/>
      <c r="F7" s="23"/>
      <c r="G7" s="23"/>
      <c r="H7" s="23"/>
      <c r="I7" s="23"/>
    </row>
    <row r="8" spans="1:9" ht="17.25" thickBot="1" x14ac:dyDescent="0.3">
      <c r="A8" s="15" t="s">
        <v>28</v>
      </c>
      <c r="B8" s="15" t="str">
        <f>Table1[[#This Row],[Model]]</f>
        <v>TGR85-WIFI-WPB</v>
      </c>
      <c r="C8" s="20">
        <f>Table1[[#This Row],[Qty]]</f>
        <v>20</v>
      </c>
      <c r="D8" s="22"/>
      <c r="E8" s="22"/>
      <c r="F8" s="22"/>
      <c r="G8" s="22"/>
      <c r="H8" s="22"/>
      <c r="I8" s="22"/>
    </row>
    <row r="9" spans="1:9" ht="17.25" thickBot="1" x14ac:dyDescent="0.3">
      <c r="A9" s="2" t="s">
        <v>28</v>
      </c>
      <c r="B9" s="2" t="str">
        <f>Table1[[#This Row],[Model]]</f>
        <v>TCC31-WIFI-WPB</v>
      </c>
      <c r="C9" s="21">
        <f>Table1[[#This Row],[Qty]]</f>
        <v>20</v>
      </c>
      <c r="D9" s="23"/>
      <c r="E9" s="23"/>
      <c r="F9" s="23"/>
      <c r="G9" s="23"/>
      <c r="H9" s="23"/>
      <c r="I9" s="23"/>
    </row>
    <row r="10" spans="1:9" ht="17.25" thickBot="1" x14ac:dyDescent="0.3">
      <c r="A10" s="15" t="s">
        <v>28</v>
      </c>
      <c r="B10" s="15" t="str">
        <f>Table1[[#This Row],[Model]]</f>
        <v>BOT-R7W-X-WIFI</v>
      </c>
      <c r="C10" s="20">
        <f>Table1[[#This Row],[Qty]]</f>
        <v>20</v>
      </c>
      <c r="D10" s="22"/>
      <c r="E10" s="22"/>
      <c r="F10" s="22"/>
      <c r="G10" s="22"/>
      <c r="H10" s="22"/>
      <c r="I10" s="22"/>
    </row>
    <row r="11" spans="1:9" ht="17.25" thickBot="1" x14ac:dyDescent="0.3">
      <c r="A11" s="2" t="s">
        <v>28</v>
      </c>
      <c r="B11" s="2" t="str">
        <f>Table1[[#This Row],[Model]]</f>
        <v>BOT-R7B-X-WIFI</v>
      </c>
      <c r="C11" s="21">
        <f>Table1[[#This Row],[Qty]]</f>
        <v>20</v>
      </c>
      <c r="D11" s="23"/>
      <c r="E11" s="23"/>
      <c r="F11" s="23"/>
      <c r="G11" s="23"/>
      <c r="H11" s="23"/>
      <c r="I11" s="23"/>
    </row>
    <row r="12" spans="1:9" ht="17.25" thickBot="1" x14ac:dyDescent="0.3">
      <c r="A12" s="15" t="s">
        <v>28</v>
      </c>
      <c r="B12" s="15" t="str">
        <f>Table1[[#This Row],[Model]]</f>
        <v>BOT-R8X-WIFI</v>
      </c>
      <c r="C12" s="20">
        <f>Table1[[#This Row],[Qty]]</f>
        <v>20</v>
      </c>
      <c r="D12" s="22"/>
      <c r="E12" s="22"/>
      <c r="F12" s="22"/>
      <c r="G12" s="22"/>
      <c r="H12" s="22"/>
      <c r="I12" s="22"/>
    </row>
    <row r="13" spans="1:9" ht="17.25" thickBot="1" x14ac:dyDescent="0.3">
      <c r="A13" s="2" t="s">
        <v>28</v>
      </c>
      <c r="B13" s="2" t="str">
        <f>Table1[[#This Row],[Model]]</f>
        <v>TRV-604</v>
      </c>
      <c r="C13" s="21">
        <f>Table1[[#This Row],[Qty]]</f>
        <v>40</v>
      </c>
      <c r="D13" s="23"/>
      <c r="E13" s="23"/>
      <c r="F13" s="23"/>
      <c r="G13" s="23"/>
      <c r="H13" s="23"/>
      <c r="I13" s="23"/>
    </row>
    <row r="14" spans="1:9" ht="17.25" thickBot="1" x14ac:dyDescent="0.3">
      <c r="A14" s="15" t="s">
        <v>28</v>
      </c>
      <c r="B14" s="15" t="str">
        <f>Table1[[#This Row],[Model]]</f>
        <v>TRV-705WF</v>
      </c>
      <c r="C14" s="20">
        <f>Table1[[#This Row],[Qty]]</f>
        <v>40</v>
      </c>
      <c r="D14" s="22"/>
      <c r="E14" s="22"/>
      <c r="F14" s="22"/>
      <c r="G14" s="22"/>
      <c r="H14" s="22"/>
      <c r="I14" s="22"/>
    </row>
    <row r="15" spans="1:9" ht="17.25" thickBot="1" x14ac:dyDescent="0.3">
      <c r="A15" s="2" t="s">
        <v>28</v>
      </c>
      <c r="B15" s="2" t="str">
        <f>Table1[[#This Row],[Model]]</f>
        <v>CCT-28-X</v>
      </c>
      <c r="C15" s="21">
        <f>Table1[[#This Row],[Qty]]</f>
        <v>10</v>
      </c>
      <c r="D15" s="23"/>
      <c r="E15" s="23"/>
      <c r="F15" s="23"/>
      <c r="G15" s="23"/>
      <c r="H15" s="23"/>
      <c r="I15" s="23"/>
    </row>
    <row r="16" spans="1:9" ht="17.25" thickBot="1" x14ac:dyDescent="0.3">
      <c r="A16" s="15" t="s">
        <v>28</v>
      </c>
      <c r="B16" s="15" t="str">
        <f>Table1[[#This Row],[Model]]</f>
        <v>BOT-R7X-WIFI-NR</v>
      </c>
      <c r="C16" s="20">
        <f>Table1[[#This Row],[Qty]]</f>
        <v>40</v>
      </c>
      <c r="D16" s="22"/>
      <c r="E16" s="22"/>
      <c r="F16" s="22"/>
      <c r="G16" s="22"/>
      <c r="H16" s="22"/>
      <c r="I16" s="22"/>
    </row>
    <row r="17" spans="1:9" ht="17.25" thickBot="1" x14ac:dyDescent="0.3">
      <c r="A17" s="8" t="s">
        <v>28</v>
      </c>
      <c r="B17" s="2" t="str">
        <f>Table1[[#This Row],[Model]]</f>
        <v>RZ-D01.230-NC</v>
      </c>
      <c r="C17" s="21">
        <f>Table1[[#This Row],[Qty]]</f>
        <v>40</v>
      </c>
      <c r="D17" s="24"/>
      <c r="E17" s="24"/>
      <c r="F17" s="24"/>
      <c r="G17" s="24"/>
      <c r="H17" s="24"/>
      <c r="I17" s="24"/>
    </row>
    <row r="22" spans="1:9" ht="16.5" x14ac:dyDescent="0.25">
      <c r="F22" s="14"/>
    </row>
    <row r="23" spans="1:9" ht="16.5" x14ac:dyDescent="0.25">
      <c r="F23" s="14"/>
    </row>
    <row r="24" spans="1:9" ht="16.5" x14ac:dyDescent="0.25">
      <c r="F24" s="14"/>
    </row>
    <row r="25" spans="1:9" ht="16.5" x14ac:dyDescent="0.25">
      <c r="F25" s="14"/>
    </row>
    <row r="26" spans="1:9" ht="16.5" x14ac:dyDescent="0.25">
      <c r="F26" s="14"/>
    </row>
    <row r="27" spans="1:9" ht="16.5" x14ac:dyDescent="0.25">
      <c r="F27" s="14"/>
    </row>
    <row r="28" spans="1:9" ht="16.5" x14ac:dyDescent="0.25">
      <c r="F28" s="14"/>
    </row>
    <row r="29" spans="1:9" ht="16.5" x14ac:dyDescent="0.25">
      <c r="F29" s="14"/>
    </row>
    <row r="30" spans="1:9" ht="16.5" x14ac:dyDescent="0.25">
      <c r="F30" s="14"/>
    </row>
    <row r="31" spans="1:9" ht="16.5" x14ac:dyDescent="0.25">
      <c r="F31" s="14"/>
    </row>
    <row r="32" spans="1:9" ht="16.5" x14ac:dyDescent="0.25">
      <c r="F32" s="14"/>
    </row>
    <row r="33" spans="6:6" ht="16.5" x14ac:dyDescent="0.25">
      <c r="F33" s="14"/>
    </row>
    <row r="34" spans="6:6" ht="16.5" x14ac:dyDescent="0.25">
      <c r="F34" s="14"/>
    </row>
    <row r="35" spans="6:6" ht="16.5" x14ac:dyDescent="0.25">
      <c r="F35" s="14"/>
    </row>
    <row r="36" spans="6:6" ht="16.5" x14ac:dyDescent="0.25">
      <c r="F36" s="14"/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d546e5e1-5d42-4630-bacd-c69bfdcbd5e8}" enabled="1" method="Standard" siteId="{96ece526-9c7d-48b0-8daf-8b93c90a5d1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Prices</vt:lpstr>
      <vt:lpstr>emag_overrides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Ivanov, Svetlin</dc:creator>
  <cp:lastModifiedBy>Ivanov, Svetlin</cp:lastModifiedBy>
  <dcterms:created xsi:type="dcterms:W3CDTF">2015-06-05T18:19:34Z</dcterms:created>
  <dcterms:modified xsi:type="dcterms:W3CDTF">2026-10-06T10:20:49Z</dcterms:modified>
</cp:coreProperties>
</file>